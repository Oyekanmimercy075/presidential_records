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.Top\Downloads\"/>
    </mc:Choice>
  </mc:AlternateContent>
  <xr:revisionPtr revIDLastSave="0" documentId="13_ncr:1_{8A943E38-F8D1-49BD-8DE7-DF63FEEF22D1}" xr6:coauthVersionLast="47" xr6:coauthVersionMax="47" xr10:uidLastSave="{00000000-0000-0000-0000-000000000000}"/>
  <bookViews>
    <workbookView xWindow="-110" yWindow="-110" windowWidth="19420" windowHeight="10300" activeTab="2" xr2:uid="{D1327149-CC51-4021-BD99-15EBA4985291}"/>
  </bookViews>
  <sheets>
    <sheet name="Raw_Data" sheetId="4" r:id="rId1"/>
    <sheet name="Data Cleaning" sheetId="1" r:id="rId2"/>
    <sheet name="REPORT" sheetId="3" r:id="rId3"/>
  </sheets>
  <definedNames>
    <definedName name="_xlnm._FilterDatabase" localSheetId="1" hidden="1">'Data Cleaning'!$G$1:$G$48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B15" i="1"/>
  <c r="B41" i="1"/>
  <c r="B34" i="1"/>
  <c r="B18" i="1"/>
  <c r="B7" i="1"/>
  <c r="B26" i="1"/>
  <c r="B8" i="1"/>
  <c r="B19" i="1"/>
  <c r="B40" i="1"/>
  <c r="B14" i="1"/>
  <c r="B29" i="1"/>
  <c r="B38" i="1"/>
  <c r="B20" i="1"/>
  <c r="B46" i="1"/>
  <c r="B48" i="1"/>
  <c r="B12" i="1"/>
  <c r="B9" i="1"/>
  <c r="B42" i="1"/>
  <c r="B17" i="1"/>
  <c r="B39" i="1"/>
  <c r="B4" i="1"/>
  <c r="B25" i="1"/>
  <c r="B11" i="1"/>
  <c r="B24" i="1"/>
  <c r="B6" i="1"/>
  <c r="B27" i="1"/>
  <c r="B16" i="1"/>
  <c r="B5" i="1"/>
  <c r="B36" i="1"/>
  <c r="B28" i="1"/>
  <c r="B43" i="1"/>
  <c r="B22" i="1"/>
  <c r="B32" i="1"/>
  <c r="B21" i="1"/>
  <c r="B35" i="1"/>
  <c r="B33" i="1"/>
  <c r="B23" i="1"/>
  <c r="B30" i="1"/>
  <c r="B3" i="1"/>
  <c r="B13" i="1"/>
  <c r="B45" i="1"/>
  <c r="B37" i="1"/>
  <c r="B10" i="1"/>
  <c r="B31" i="1"/>
  <c r="B2" i="1"/>
  <c r="B47" i="1"/>
  <c r="B44" i="1"/>
</calcChain>
</file>

<file path=xl/sharedStrings.xml><?xml version="1.0" encoding="utf-8"?>
<sst xmlns="http://schemas.openxmlformats.org/spreadsheetml/2006/main" count="367" uniqueCount="208">
  <si>
    <t>S.No.</t>
  </si>
  <si>
    <t>president</t>
  </si>
  <si>
    <t>prior</t>
  </si>
  <si>
    <t>party</t>
  </si>
  <si>
    <t>salary</t>
  </si>
  <si>
    <t>date updated</t>
  </si>
  <si>
    <t>date created</t>
  </si>
  <si>
    <t>Nonpartisan</t>
  </si>
  <si>
    <t>John Adams</t>
  </si>
  <si>
    <t>1st  Vice President of the United States</t>
  </si>
  <si>
    <t>Federalist</t>
  </si>
  <si>
    <t>Thomas Jefferson</t>
  </si>
  <si>
    <t>2nd  Vice President of the United States</t>
  </si>
  <si>
    <t>Daniel D. Tompkins</t>
  </si>
  <si>
    <t>John C. Calhoun</t>
  </si>
  <si>
    <t>Democratic</t>
  </si>
  <si>
    <t>8th  Vice President of the United States</t>
  </si>
  <si>
    <t>Richard Mentor Johnson</t>
  </si>
  <si>
    <t>Whig</t>
  </si>
  <si>
    <t>John Tyler</t>
  </si>
  <si>
    <t>10th  Vice President of the United States</t>
  </si>
  <si>
    <t>Office vacant</t>
  </si>
  <si>
    <t>12th  Vice President of the United States</t>
  </si>
  <si>
    <t>William R. King</t>
  </si>
  <si>
    <t>John C. Breckinridge</t>
  </si>
  <si>
    <t>Republican</t>
  </si>
  <si>
    <t>Hannibal Hamlin</t>
  </si>
  <si>
    <t>16th  Vice President of the United States</t>
  </si>
  <si>
    <t>Schuyler Colfax</t>
  </si>
  <si>
    <t>William A. Wheeler</t>
  </si>
  <si>
    <t>Chester A. Arthur</t>
  </si>
  <si>
    <t>20th  Vice President of the United States</t>
  </si>
  <si>
    <t>Thomas A. Hendricks</t>
  </si>
  <si>
    <t>Levi P. Morton</t>
  </si>
  <si>
    <t>Adlai Stevenson</t>
  </si>
  <si>
    <t>Garret Hobart</t>
  </si>
  <si>
    <t>25th  Vice President of the United States</t>
  </si>
  <si>
    <t>James S. Sherman</t>
  </si>
  <si>
    <t>Thomas R. Marshall</t>
  </si>
  <si>
    <t>Calvin Coolidge</t>
  </si>
  <si>
    <t>29th  Vice President of the United States</t>
  </si>
  <si>
    <t>Charles Curtis</t>
  </si>
  <si>
    <t>John Nance Garner</t>
  </si>
  <si>
    <t>34th  Vice President of the United States</t>
  </si>
  <si>
    <t>Richard Nixon</t>
  </si>
  <si>
    <t>Lyndon B. Johnson</t>
  </si>
  <si>
    <t>37th  Vice President of the United States</t>
  </si>
  <si>
    <t>Spiro Agnew</t>
  </si>
  <si>
    <t>40th  Vice President of the United States</t>
  </si>
  <si>
    <t>Walter Mondale</t>
  </si>
  <si>
    <t>George H. W. Bush</t>
  </si>
  <si>
    <t>43rd  Vice President of the United States</t>
  </si>
  <si>
    <t>Dan Quayle</t>
  </si>
  <si>
    <t>Al Gore</t>
  </si>
  <si>
    <t>Dick Cheney</t>
  </si>
  <si>
    <t>Joe Biden</t>
  </si>
  <si>
    <t>Republicans</t>
  </si>
  <si>
    <t>Mike Pence</t>
  </si>
  <si>
    <t xml:space="preserve">Whig </t>
  </si>
  <si>
    <t>Aaron Burr</t>
  </si>
  <si>
    <t>George Clinton</t>
  </si>
  <si>
    <t>George M. Dallas</t>
  </si>
  <si>
    <t>Millard Fillmore</t>
  </si>
  <si>
    <t xml:space="preserve">Commander-in-Chief  of the  Continental Army   </t>
  </si>
  <si>
    <t xml:space="preserve">5th  United States Secretary of State   </t>
  </si>
  <si>
    <t xml:space="preserve">7th  United States Secretary of State   </t>
  </si>
  <si>
    <t xml:space="preserve">8th  United States Secretary of State   </t>
  </si>
  <si>
    <t xml:space="preserve">U.S. Senator   </t>
  </si>
  <si>
    <t xml:space="preserve">United States Minister to Colombia   </t>
  </si>
  <si>
    <t xml:space="preserve">9th  Governor of Tennessee   </t>
  </si>
  <si>
    <t xml:space="preserve">Major General  of the  1st Infantry Regiment   United States Army   </t>
  </si>
  <si>
    <t xml:space="preserve">Brigadier General  of the  9th Infantry   United States Army   </t>
  </si>
  <si>
    <t xml:space="preserve">United States Minister  to the   Court of St James's   </t>
  </si>
  <si>
    <t xml:space="preserve">U.S. Representative  for  Illinois' 7th District   </t>
  </si>
  <si>
    <t xml:space="preserve">Commanding General  of the U.S. Army   </t>
  </si>
  <si>
    <t xml:space="preserve">29th &amp; 32nd  Governor of Ohio   </t>
  </si>
  <si>
    <t xml:space="preserve">U.S. Representative  for  Ohio's 19th District   </t>
  </si>
  <si>
    <t xml:space="preserve">28th  Governor of New York   </t>
  </si>
  <si>
    <t xml:space="preserve">22nd  President of the United States   </t>
  </si>
  <si>
    <t xml:space="preserve">39th  Governor of Ohio   </t>
  </si>
  <si>
    <t xml:space="preserve">42nd  United States Secretary of War   </t>
  </si>
  <si>
    <t xml:space="preserve">34th  Governor of New Jersey   </t>
  </si>
  <si>
    <t xml:space="preserve">3rd  United States Secretary of Commerce   </t>
  </si>
  <si>
    <t xml:space="preserve">44th  Governor of New York   </t>
  </si>
  <si>
    <t xml:space="preserve">Supreme Allied Commander Europe   </t>
  </si>
  <si>
    <t xml:space="preserve">36th  Vice President of the United States   </t>
  </si>
  <si>
    <t xml:space="preserve">76th  Governor of Georgia   </t>
  </si>
  <si>
    <t xml:space="preserve">33rd  Governor of California   </t>
  </si>
  <si>
    <t xml:space="preserve">40th &amp; 42nd  Governor of Arkansas   </t>
  </si>
  <si>
    <t xml:space="preserve">46th  Governor of Texas   </t>
  </si>
  <si>
    <t xml:space="preserve">Chairman of   The Trump Organization   </t>
  </si>
  <si>
    <t xml:space="preserve">Data Cleaning and inpection  Report </t>
  </si>
  <si>
    <t>Objective</t>
  </si>
  <si>
    <t>The purpose of this task was to inspect, clean, and standardize the dataset t</t>
  </si>
  <si>
    <t>to ensure accuracy, consustency, and readiness for analaysis.</t>
  </si>
  <si>
    <t xml:space="preserve">Data Inpection </t>
  </si>
  <si>
    <t xml:space="preserve">Data Cleaning Activities Performed </t>
  </si>
  <si>
    <t>1. Removal of Duplicates: Duplicates columns/entries were identified and removed to ensure each record is unique and to prevent data redundancy</t>
  </si>
  <si>
    <t>3. President Column Cleaning : Blank calls in the president column were identified and removed to maintain completeness and accuracy.</t>
  </si>
  <si>
    <t>4. Find and Replace Operations: The find and replace tool was used to clean and standardize values .</t>
  </si>
  <si>
    <t>Vice President</t>
  </si>
  <si>
    <t>6. Salary Column Formatting : The salary column was formatted into currency format by adding the dollar ($) and applying proper numerical formatting for consitency</t>
  </si>
  <si>
    <t>Outcome</t>
  </si>
  <si>
    <t>After the cleaning process , the dataset is now :</t>
  </si>
  <si>
    <t>1. Free from duplicates</t>
  </si>
  <si>
    <t>2. Properly structured and ordered</t>
  </si>
  <si>
    <t xml:space="preserve">3. Consistent in text formatting </t>
  </si>
  <si>
    <t>4. Standardized in currency and date formats.</t>
  </si>
  <si>
    <t>8. Data Conversion for Analysis : To prepare the dataset for analysis, the cleaned data was convertesd into a structured table format.</t>
  </si>
  <si>
    <t>vice</t>
  </si>
  <si>
    <t>GEORGE WASHINGTON</t>
  </si>
  <si>
    <t>Commander-in-Chief  of the  Continental Army   ( 1775â€“1783 )</t>
  </si>
  <si>
    <t>JOHN ADAMS</t>
  </si>
  <si>
    <t>THOMAS JEFFERSON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</si>
  <si>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</si>
  <si>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</si>
  <si>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</si>
  <si>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</si>
  <si>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</si>
  <si>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</si>
  <si>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</si>
  <si>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JOHN QUINCY ADAMS</t>
  </si>
  <si>
    <t>8th  United States Secretary of State   (1817â€“1825)</t>
  </si>
  <si>
    <t>ANDREW JACKSON</t>
  </si>
  <si>
    <t>U.S. Senator   ( Class 2 )   from  Tennessee   (1823â€“1825)</t>
  </si>
  <si>
    <t>John C.     Calhoun</t>
  </si>
  <si>
    <t>MARTIN VAN BUREN</t>
  </si>
  <si>
    <t>WILLIAM HENRY HARRISON</t>
  </si>
  <si>
    <t>United States Minister to Colombia   (1828â€“1829)</t>
  </si>
  <si>
    <t>JOHN TYLER</t>
  </si>
  <si>
    <t>Whig   April 4, 1841  â€“  September 13, 1841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</si>
  <si>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</si>
  <si>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</si>
  <si>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</si>
  <si>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</si>
  <si>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</si>
  <si>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</si>
  <si>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</si>
  <si>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FRANKLIN PIERCE</t>
  </si>
  <si>
    <t>Brigadier General  of the  9th Infantry   United States Army   (1847â€“1848)</t>
  </si>
  <si>
    <t>JAMES BUCHANAN</t>
  </si>
  <si>
    <t>United States Minister  to the   Court of St James's   (1853â€“1856)</t>
  </si>
  <si>
    <t>ABRAHAM LINCOLN</t>
  </si>
  <si>
    <t>U.S. Representative  for  Illinois' 7th District   (1847â€“1849)</t>
  </si>
  <si>
    <t>ANDREW JOHNSON</t>
  </si>
  <si>
    <t>ULYSSES S. GRANT</t>
  </si>
  <si>
    <t>Commanding General  of the U.S. Army   ( 1864â€“1869 )</t>
  </si>
  <si>
    <t>RUTHERFORD B. HAYES</t>
  </si>
  <si>
    <t>29th &amp; 32nd  Governor of Ohio   (1868â€“1872 &amp; 1876â€“1877)</t>
  </si>
  <si>
    <t>JAMES A. GARFIELD</t>
  </si>
  <si>
    <t>U.S. Representative  for  Ohio's 19th District   (1863â€“1881)</t>
  </si>
  <si>
    <t>CHESTER A. ARTHUR</t>
  </si>
  <si>
    <t>GROVER CLEVELAND</t>
  </si>
  <si>
    <t>28th  Governor of New York   (1883â€“1885)</t>
  </si>
  <si>
    <t>BENJAMIN HARRISON</t>
  </si>
  <si>
    <t>U.S. Senator   ( Class 1 )   from  Indiana   (1881â€“1887)</t>
  </si>
  <si>
    <t>22nd  President of the United States   (1885â€“1889)</t>
  </si>
  <si>
    <t>WILLIAM MCKINLEY</t>
  </si>
  <si>
    <t>39th  Governor of Ohio   (1892â€“1896)</t>
  </si>
  <si>
    <t>THEODORE ROOSEVELT</t>
  </si>
  <si>
    <t>WILLIAM HOWARD TAFT</t>
  </si>
  <si>
    <t>42nd  United States Secretary of War   (1904â€“1908)</t>
  </si>
  <si>
    <t>WOODROW WILSON</t>
  </si>
  <si>
    <t>34th  Governor of New Jersey   (1911â€“1913)</t>
  </si>
  <si>
    <t>Demorcatic</t>
  </si>
  <si>
    <t>WARREN G. HARDING</t>
  </si>
  <si>
    <t>U.S. Senator   ( Class 3 )   from  Ohio   (1915â€“1921)</t>
  </si>
  <si>
    <t>CALVIN COOLIDGE</t>
  </si>
  <si>
    <t>HERBERT HOOVER</t>
  </si>
  <si>
    <t>3rd  United States Secretary of Commerce   (1921â€“1928)</t>
  </si>
  <si>
    <t>FRANKLIN D. ROOSEVELT</t>
  </si>
  <si>
    <t>44th  Governor of New York   ( 1929â€“1932 )</t>
  </si>
  <si>
    <t>HARRY S. TRUMAN</t>
  </si>
  <si>
    <t>DWIGHT D. EISENHOWER</t>
  </si>
  <si>
    <t>Supreme Allied Commander Europe   ( 1949â€“1952 )</t>
  </si>
  <si>
    <t>JOHN F. KENNEDY</t>
  </si>
  <si>
    <t>U.S. Senator   ( Class 1 )   from  Massachusetts   (1953â€“1960)</t>
  </si>
  <si>
    <t>LYNDON B. JOHNSON</t>
  </si>
  <si>
    <t>RICHARD NIXON</t>
  </si>
  <si>
    <t>36th  Vice President of the United States   (1953â€“1961)</t>
  </si>
  <si>
    <t>GERALD FORD</t>
  </si>
  <si>
    <t>JIMMY CARTER</t>
  </si>
  <si>
    <t>76th  Governor of Georgia   (1971â€“1975)</t>
  </si>
  <si>
    <t>RONALD REAGAN</t>
  </si>
  <si>
    <t>33rd  Governor of California   ( 1967â€“1975 )</t>
  </si>
  <si>
    <t>GEORGE H. W. BUSH</t>
  </si>
  <si>
    <t>BILL CLINTON</t>
  </si>
  <si>
    <t>40th &amp; 42nd  Governor of Arkansas   (1979â€“1981 &amp; 1983â€“1992)</t>
  </si>
  <si>
    <t>GEORGE W. BUSH</t>
  </si>
  <si>
    <t>46th  Governor of Texas   ( 1995â€“2000 )</t>
  </si>
  <si>
    <t>BARACK OBAMA</t>
  </si>
  <si>
    <t>U.S. Senator   ( Class 3 )   from  Illinois   ( 2005â€“2008 )</t>
  </si>
  <si>
    <t>DONALD TRUMP</t>
  </si>
  <si>
    <t>Chairman of   The Trump Organization   ( 1971â€“present )</t>
  </si>
  <si>
    <t>The dataset was first inpected to understand and  identify errors, inconsistencies, and areas requiring cleaning. This helped determine the necessary adjustment before analysis.</t>
  </si>
  <si>
    <t>Before making any modifications, a duplicate copy of the dataset was created to serve as a reference and backup. This ensured that the original data remained available in case any errors occurred during the cleaning process.</t>
  </si>
  <si>
    <t>Data Backup</t>
  </si>
  <si>
    <t>2. Serial Number Reorganization : The S.No column was recreated to ensure proper sequencing and logical order of records</t>
  </si>
  <si>
    <t>Date Updated</t>
  </si>
  <si>
    <t>Date Created</t>
  </si>
  <si>
    <t>Prior</t>
  </si>
  <si>
    <t>President</t>
  </si>
  <si>
    <t>Party</t>
  </si>
  <si>
    <t>Salary</t>
  </si>
  <si>
    <t xml:space="preserve">5. Vice President Column Review : The vice president column was inspected carefully to ensure all rows contained accurate and properly aligned information . </t>
  </si>
  <si>
    <t>7. Date Column Formatting : The data column was converted from numeric format into a readable short data format for better interpretation and usabibility.</t>
  </si>
  <si>
    <t>5. Ready for analysis and reporting.</t>
  </si>
  <si>
    <t>9. Standardize : I applied proper formatting to the Name-related columns using Proper Case Formatting to standardize the names and improve readability.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</si>
</sst>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4" fontId="0" fillId="3" borderId="1" xfId="1" applyNumberFormat="1" applyFont="1" applyFill="1" applyBorder="1"/>
    <xf numFmtId="164" fontId="0" fillId="0" borderId="1" xfId="1" applyNumberFormat="1" applyFont="1" applyBorder="1"/>
    <xf numFmtId="0" fontId="6" fillId="0" borderId="0" xfId="0" applyFont="1"/>
    <xf numFmtId="0" fontId="5" fillId="0" borderId="0" xfId="0" applyFont="1"/>
    <xf numFmtId="0" fontId="3" fillId="0" borderId="0" xfId="0" applyFont="1"/>
    <xf numFmtId="0" fontId="4" fillId="0" borderId="0" xfId="0" applyFont="1"/>
    <xf numFmtId="0" fontId="0" fillId="3" borderId="1" xfId="0" applyFill="1" applyBorder="1"/>
    <xf numFmtId="14" fontId="0" fillId="3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0" fontId="2" fillId="2" borderId="0" xfId="0" applyFont="1" applyFill="1"/>
    <xf numFmtId="165" fontId="2" fillId="2" borderId="0" xfId="1" applyNumberFormat="1" applyFont="1" applyFill="1" applyBorder="1"/>
    <xf numFmtId="14" fontId="2" fillId="2" borderId="0" xfId="0" applyNumberFormat="1" applyFont="1" applyFill="1"/>
  </cellXfs>
  <cellStyles count="2">
    <cellStyle name="Currency" xfId="1" builtinId="4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368998-9385-45B0-9051-5E6442DF6DCE}" name="Table1" displayName="Table1" ref="A1:H48" totalsRowShown="0" tableBorderDxfId="8">
  <autoFilter ref="A1:H48" xr:uid="{88368998-9385-45B0-9051-5E6442DF6DCE}">
    <filterColumn colId="3">
      <customFilters>
        <customFilter operator="notEqual" val=" "/>
      </customFilters>
    </filterColumn>
  </autoFilter>
  <tableColumns count="8">
    <tableColumn id="1" xr3:uid="{F7E309E0-DC8C-4E51-909B-CACF9B89811D}" name="S.No." dataDxfId="7"/>
    <tableColumn id="2" xr3:uid="{F6CBB1F2-3249-461A-867B-4E6D84946A37}" name="President" dataDxfId="6">
      <calculatedColumnFormula>PROPER('Data Cleaning'!$B2)</calculatedColumnFormula>
    </tableColumn>
    <tableColumn id="3" xr3:uid="{F85B6EA6-0B37-4039-AB76-25F090E578CA}" name="Prior" dataDxfId="5"/>
    <tableColumn id="4" xr3:uid="{0717D7A6-8714-47C2-9546-B0148E95C88A}" name="Party" dataDxfId="4"/>
    <tableColumn id="5" xr3:uid="{39689CA0-AD2C-450A-BFA0-74C3815C26D0}" name="Vice President" dataDxfId="3"/>
    <tableColumn id="6" xr3:uid="{75EDD07A-9967-4535-A20C-4CE3696200F1}" name="Salary" dataDxfId="2" dataCellStyle="Currency"/>
    <tableColumn id="7" xr3:uid="{0DE005CA-B1B8-4974-B540-D94C2A5BBAEB}" name="Date Updated" dataDxfId="1"/>
    <tableColumn id="8" xr3:uid="{21957263-D5AB-456D-B31B-D5707B8C5776}" name="Date Creat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3CFE8-1530-4D1C-83B0-521DB88BE23F}">
  <dimension ref="A1:I48"/>
  <sheetViews>
    <sheetView topLeftCell="A5" workbookViewId="0">
      <selection activeCell="D48" sqref="D48"/>
    </sheetView>
  </sheetViews>
  <sheetFormatPr defaultRowHeight="14.5" x14ac:dyDescent="0.35"/>
  <cols>
    <col min="3" max="3" width="23.81640625" bestFit="1" customWidth="1"/>
    <col min="6" max="6" width="21.453125" bestFit="1" customWidth="1"/>
  </cols>
  <sheetData>
    <row r="1" spans="1:9" x14ac:dyDescent="0.35">
      <c r="B1" t="s">
        <v>0</v>
      </c>
      <c r="C1" t="s">
        <v>1</v>
      </c>
      <c r="D1" t="s">
        <v>2</v>
      </c>
      <c r="E1" t="s">
        <v>3</v>
      </c>
      <c r="F1" t="s">
        <v>109</v>
      </c>
      <c r="G1" t="s">
        <v>4</v>
      </c>
      <c r="H1" t="s">
        <v>5</v>
      </c>
      <c r="I1" t="s">
        <v>6</v>
      </c>
    </row>
    <row r="2" spans="1:9" x14ac:dyDescent="0.35">
      <c r="A2">
        <v>0</v>
      </c>
      <c r="B2">
        <v>1</v>
      </c>
      <c r="C2" t="s">
        <v>110</v>
      </c>
      <c r="D2" t="s">
        <v>111</v>
      </c>
      <c r="E2" t="s">
        <v>7</v>
      </c>
      <c r="F2" t="s">
        <v>8</v>
      </c>
      <c r="G2">
        <v>5000</v>
      </c>
      <c r="H2">
        <v>44391</v>
      </c>
      <c r="I2">
        <v>40972</v>
      </c>
    </row>
    <row r="3" spans="1:9" x14ac:dyDescent="0.35">
      <c r="A3">
        <v>1</v>
      </c>
      <c r="B3">
        <v>2</v>
      </c>
      <c r="C3" t="s">
        <v>112</v>
      </c>
      <c r="D3" t="s">
        <v>9</v>
      </c>
      <c r="E3" t="s">
        <v>10</v>
      </c>
      <c r="F3" t="s">
        <v>11</v>
      </c>
      <c r="G3">
        <v>10000</v>
      </c>
      <c r="H3">
        <v>44391</v>
      </c>
      <c r="I3">
        <v>40972</v>
      </c>
    </row>
    <row r="4" spans="1:9" x14ac:dyDescent="0.35">
      <c r="A4">
        <v>2</v>
      </c>
      <c r="B4">
        <v>3</v>
      </c>
      <c r="C4" t="s">
        <v>113</v>
      </c>
      <c r="D4" t="s">
        <v>12</v>
      </c>
      <c r="E4" t="s">
        <v>114</v>
      </c>
      <c r="F4" t="s">
        <v>115</v>
      </c>
      <c r="G4">
        <v>15000</v>
      </c>
      <c r="H4">
        <v>44391</v>
      </c>
      <c r="I4">
        <v>40972</v>
      </c>
    </row>
    <row r="5" spans="1:9" x14ac:dyDescent="0.35">
      <c r="A5">
        <v>3</v>
      </c>
      <c r="B5">
        <v>4</v>
      </c>
      <c r="C5" t="s">
        <v>116</v>
      </c>
      <c r="D5" t="s">
        <v>117</v>
      </c>
      <c r="E5" t="s">
        <v>114</v>
      </c>
      <c r="F5" t="s">
        <v>118</v>
      </c>
      <c r="G5">
        <v>20000</v>
      </c>
      <c r="H5">
        <v>44391</v>
      </c>
      <c r="I5">
        <v>40972</v>
      </c>
    </row>
    <row r="6" spans="1:9" x14ac:dyDescent="0.35">
      <c r="A6">
        <v>4</v>
      </c>
      <c r="B6">
        <v>5</v>
      </c>
      <c r="C6" t="s">
        <v>119</v>
      </c>
      <c r="D6" t="s">
        <v>120</v>
      </c>
      <c r="E6" t="s">
        <v>114</v>
      </c>
      <c r="F6" t="s">
        <v>13</v>
      </c>
      <c r="G6">
        <v>25000</v>
      </c>
      <c r="H6">
        <v>44391</v>
      </c>
      <c r="I6">
        <v>40972</v>
      </c>
    </row>
    <row r="7" spans="1:9" x14ac:dyDescent="0.35">
      <c r="A7">
        <v>5</v>
      </c>
      <c r="B7">
        <v>6</v>
      </c>
      <c r="C7" t="s">
        <v>121</v>
      </c>
      <c r="D7" t="s">
        <v>122</v>
      </c>
      <c r="E7" t="s">
        <v>114</v>
      </c>
      <c r="F7" t="s">
        <v>14</v>
      </c>
      <c r="G7">
        <v>30000</v>
      </c>
      <c r="H7">
        <v>44391</v>
      </c>
      <c r="I7">
        <v>40972</v>
      </c>
    </row>
    <row r="8" spans="1:9" x14ac:dyDescent="0.35">
      <c r="A8">
        <v>6</v>
      </c>
      <c r="B8">
        <v>7</v>
      </c>
      <c r="C8" t="s">
        <v>123</v>
      </c>
      <c r="D8" t="s">
        <v>124</v>
      </c>
      <c r="E8" t="s">
        <v>15</v>
      </c>
      <c r="F8" t="s">
        <v>125</v>
      </c>
      <c r="G8">
        <v>35000</v>
      </c>
      <c r="H8">
        <v>44391</v>
      </c>
      <c r="I8">
        <v>40972</v>
      </c>
    </row>
    <row r="9" spans="1:9" x14ac:dyDescent="0.35">
      <c r="A9">
        <v>7</v>
      </c>
      <c r="B9">
        <v>8</v>
      </c>
      <c r="C9" t="s">
        <v>126</v>
      </c>
      <c r="D9" t="s">
        <v>16</v>
      </c>
      <c r="E9" t="s">
        <v>15</v>
      </c>
      <c r="F9" t="s">
        <v>17</v>
      </c>
      <c r="G9">
        <v>40000</v>
      </c>
      <c r="H9">
        <v>44391</v>
      </c>
      <c r="I9">
        <v>40972</v>
      </c>
    </row>
    <row r="10" spans="1:9" x14ac:dyDescent="0.35">
      <c r="A10">
        <v>8</v>
      </c>
      <c r="B10">
        <v>9</v>
      </c>
      <c r="C10" t="s">
        <v>127</v>
      </c>
      <c r="D10" t="s">
        <v>128</v>
      </c>
      <c r="E10" t="s">
        <v>18</v>
      </c>
      <c r="F10" t="s">
        <v>19</v>
      </c>
      <c r="G10">
        <v>45000</v>
      </c>
      <c r="H10">
        <v>44391</v>
      </c>
      <c r="I10">
        <v>40972</v>
      </c>
    </row>
    <row r="11" spans="1:9" x14ac:dyDescent="0.35">
      <c r="A11">
        <v>9</v>
      </c>
      <c r="B11">
        <v>10</v>
      </c>
      <c r="C11" t="s">
        <v>129</v>
      </c>
      <c r="D11" t="s">
        <v>20</v>
      </c>
      <c r="E11" t="s">
        <v>130</v>
      </c>
      <c r="F11" t="s">
        <v>21</v>
      </c>
      <c r="G11">
        <v>50000</v>
      </c>
      <c r="H11">
        <v>44391</v>
      </c>
      <c r="I11">
        <v>40972</v>
      </c>
    </row>
    <row r="12" spans="1:9" x14ac:dyDescent="0.35">
      <c r="A12">
        <v>10</v>
      </c>
      <c r="B12">
        <v>11</v>
      </c>
      <c r="C12" t="s">
        <v>131</v>
      </c>
      <c r="D12" t="s">
        <v>132</v>
      </c>
      <c r="E12" t="s">
        <v>15</v>
      </c>
      <c r="F12" t="s">
        <v>133</v>
      </c>
      <c r="G12">
        <v>55000</v>
      </c>
      <c r="H12">
        <v>44391</v>
      </c>
      <c r="I12">
        <v>40972</v>
      </c>
    </row>
    <row r="13" spans="1:9" x14ac:dyDescent="0.35">
      <c r="A13">
        <v>11</v>
      </c>
      <c r="B13">
        <v>12</v>
      </c>
      <c r="C13" t="s">
        <v>134</v>
      </c>
      <c r="D13" t="s">
        <v>135</v>
      </c>
      <c r="E13" t="s">
        <v>18</v>
      </c>
      <c r="F13" t="s">
        <v>136</v>
      </c>
      <c r="G13">
        <v>60000</v>
      </c>
      <c r="H13">
        <v>44391</v>
      </c>
      <c r="I13">
        <v>40972</v>
      </c>
    </row>
    <row r="14" spans="1:9" x14ac:dyDescent="0.35">
      <c r="A14">
        <v>12</v>
      </c>
      <c r="B14">
        <v>13</v>
      </c>
      <c r="C14" t="s">
        <v>137</v>
      </c>
      <c r="D14" t="s">
        <v>22</v>
      </c>
      <c r="E14" t="s">
        <v>18</v>
      </c>
      <c r="F14" t="s">
        <v>21</v>
      </c>
      <c r="G14">
        <v>65000</v>
      </c>
      <c r="H14">
        <v>44391</v>
      </c>
      <c r="I14">
        <v>40972</v>
      </c>
    </row>
    <row r="15" spans="1:9" x14ac:dyDescent="0.35">
      <c r="A15">
        <v>13</v>
      </c>
      <c r="B15">
        <v>14</v>
      </c>
      <c r="C15" t="s">
        <v>138</v>
      </c>
      <c r="D15" t="s">
        <v>139</v>
      </c>
      <c r="E15" t="s">
        <v>15</v>
      </c>
      <c r="F15" t="s">
        <v>23</v>
      </c>
      <c r="G15">
        <v>75000</v>
      </c>
      <c r="H15">
        <v>44391</v>
      </c>
      <c r="I15">
        <v>40972</v>
      </c>
    </row>
    <row r="16" spans="1:9" x14ac:dyDescent="0.35">
      <c r="A16">
        <v>14</v>
      </c>
      <c r="B16">
        <v>15</v>
      </c>
      <c r="C16" t="s">
        <v>140</v>
      </c>
      <c r="D16" t="s">
        <v>141</v>
      </c>
      <c r="E16" t="s">
        <v>15</v>
      </c>
      <c r="F16" t="s">
        <v>24</v>
      </c>
      <c r="G16">
        <v>85000</v>
      </c>
      <c r="H16">
        <v>44391</v>
      </c>
      <c r="I16">
        <v>40972</v>
      </c>
    </row>
    <row r="17" spans="1:9" x14ac:dyDescent="0.35">
      <c r="A17">
        <v>15</v>
      </c>
      <c r="B17">
        <v>16</v>
      </c>
      <c r="C17" t="s">
        <v>142</v>
      </c>
      <c r="D17" t="s">
        <v>143</v>
      </c>
      <c r="E17" t="s">
        <v>25</v>
      </c>
      <c r="F17" t="s">
        <v>26</v>
      </c>
      <c r="G17">
        <v>95000</v>
      </c>
      <c r="H17">
        <v>44391</v>
      </c>
      <c r="I17">
        <v>40972</v>
      </c>
    </row>
    <row r="18" spans="1:9" x14ac:dyDescent="0.35">
      <c r="A18">
        <v>16</v>
      </c>
      <c r="B18">
        <v>17</v>
      </c>
      <c r="C18" t="s">
        <v>144</v>
      </c>
      <c r="D18" t="s">
        <v>27</v>
      </c>
      <c r="E18" t="s">
        <v>15</v>
      </c>
      <c r="F18" t="s">
        <v>21</v>
      </c>
      <c r="G18">
        <v>105000</v>
      </c>
      <c r="H18">
        <v>44391</v>
      </c>
      <c r="I18">
        <v>40972</v>
      </c>
    </row>
    <row r="19" spans="1:9" x14ac:dyDescent="0.35">
      <c r="A19">
        <v>17</v>
      </c>
      <c r="B19">
        <v>18</v>
      </c>
      <c r="C19" t="s">
        <v>145</v>
      </c>
      <c r="D19" t="s">
        <v>146</v>
      </c>
      <c r="E19" t="s">
        <v>25</v>
      </c>
      <c r="F19" t="s">
        <v>28</v>
      </c>
      <c r="G19">
        <v>115000</v>
      </c>
      <c r="H19">
        <v>44391</v>
      </c>
      <c r="I19">
        <v>40972</v>
      </c>
    </row>
    <row r="20" spans="1:9" x14ac:dyDescent="0.35">
      <c r="A20">
        <v>18</v>
      </c>
      <c r="B20">
        <v>19</v>
      </c>
      <c r="C20" t="s">
        <v>147</v>
      </c>
      <c r="D20" t="s">
        <v>148</v>
      </c>
      <c r="E20" t="s">
        <v>25</v>
      </c>
      <c r="F20" t="s">
        <v>29</v>
      </c>
      <c r="G20">
        <v>125000</v>
      </c>
      <c r="H20">
        <v>44391</v>
      </c>
      <c r="I20">
        <v>40972</v>
      </c>
    </row>
    <row r="21" spans="1:9" x14ac:dyDescent="0.35">
      <c r="A21">
        <v>19</v>
      </c>
      <c r="B21">
        <v>20</v>
      </c>
      <c r="C21" t="s">
        <v>149</v>
      </c>
      <c r="D21" t="s">
        <v>150</v>
      </c>
      <c r="E21" t="s">
        <v>25</v>
      </c>
      <c r="F21" t="s">
        <v>30</v>
      </c>
      <c r="G21">
        <v>135000</v>
      </c>
      <c r="H21">
        <v>44391</v>
      </c>
      <c r="I21">
        <v>40972</v>
      </c>
    </row>
    <row r="22" spans="1:9" x14ac:dyDescent="0.35">
      <c r="A22">
        <v>20</v>
      </c>
      <c r="B22">
        <v>21</v>
      </c>
      <c r="C22" t="s">
        <v>151</v>
      </c>
      <c r="D22" t="s">
        <v>31</v>
      </c>
      <c r="E22" t="s">
        <v>25</v>
      </c>
      <c r="F22" t="s">
        <v>21</v>
      </c>
      <c r="G22">
        <v>145000</v>
      </c>
      <c r="H22">
        <v>44391</v>
      </c>
      <c r="I22">
        <v>40972</v>
      </c>
    </row>
    <row r="23" spans="1:9" x14ac:dyDescent="0.35">
      <c r="A23">
        <v>21</v>
      </c>
      <c r="B23">
        <v>22</v>
      </c>
      <c r="C23" t="s">
        <v>152</v>
      </c>
      <c r="D23" t="s">
        <v>153</v>
      </c>
      <c r="E23" t="s">
        <v>15</v>
      </c>
      <c r="F23" t="s">
        <v>32</v>
      </c>
      <c r="G23">
        <v>155000</v>
      </c>
      <c r="H23">
        <v>44391</v>
      </c>
      <c r="I23">
        <v>40972</v>
      </c>
    </row>
    <row r="24" spans="1:9" x14ac:dyDescent="0.35">
      <c r="A24">
        <v>22</v>
      </c>
      <c r="B24">
        <v>23</v>
      </c>
      <c r="C24" t="s">
        <v>154</v>
      </c>
      <c r="D24" t="s">
        <v>155</v>
      </c>
      <c r="E24" t="s">
        <v>25</v>
      </c>
      <c r="F24" t="s">
        <v>33</v>
      </c>
      <c r="G24">
        <v>165000</v>
      </c>
      <c r="H24">
        <v>44391</v>
      </c>
      <c r="I24">
        <v>40972</v>
      </c>
    </row>
    <row r="25" spans="1:9" x14ac:dyDescent="0.35">
      <c r="A25">
        <v>23</v>
      </c>
      <c r="B25">
        <v>24</v>
      </c>
      <c r="C25" t="s">
        <v>152</v>
      </c>
      <c r="D25" t="s">
        <v>156</v>
      </c>
      <c r="E25" t="s">
        <v>15</v>
      </c>
      <c r="F25" t="s">
        <v>34</v>
      </c>
      <c r="G25">
        <v>175000</v>
      </c>
      <c r="H25">
        <v>44391</v>
      </c>
      <c r="I25">
        <v>40972</v>
      </c>
    </row>
    <row r="26" spans="1:9" x14ac:dyDescent="0.35">
      <c r="A26">
        <v>24</v>
      </c>
      <c r="B26">
        <v>25</v>
      </c>
      <c r="C26" t="s">
        <v>157</v>
      </c>
      <c r="D26" t="s">
        <v>158</v>
      </c>
      <c r="E26" t="s">
        <v>25</v>
      </c>
      <c r="F26" t="s">
        <v>35</v>
      </c>
      <c r="G26">
        <v>185000</v>
      </c>
      <c r="H26">
        <v>44391</v>
      </c>
      <c r="I26">
        <v>40972</v>
      </c>
    </row>
    <row r="27" spans="1:9" x14ac:dyDescent="0.35">
      <c r="A27">
        <v>25</v>
      </c>
      <c r="B27">
        <v>26</v>
      </c>
      <c r="C27" t="s">
        <v>159</v>
      </c>
      <c r="D27" t="s">
        <v>36</v>
      </c>
      <c r="E27" t="s">
        <v>25</v>
      </c>
      <c r="F27" t="s">
        <v>21</v>
      </c>
      <c r="G27">
        <v>195000</v>
      </c>
      <c r="H27">
        <v>44391</v>
      </c>
      <c r="I27">
        <v>40972</v>
      </c>
    </row>
    <row r="28" spans="1:9" x14ac:dyDescent="0.35">
      <c r="A28">
        <v>26</v>
      </c>
      <c r="B28">
        <v>27</v>
      </c>
      <c r="C28" t="s">
        <v>160</v>
      </c>
      <c r="D28" t="s">
        <v>161</v>
      </c>
      <c r="E28" t="s">
        <v>25</v>
      </c>
      <c r="F28" t="s">
        <v>37</v>
      </c>
      <c r="G28">
        <v>205000</v>
      </c>
      <c r="H28">
        <v>44391</v>
      </c>
      <c r="I28">
        <v>40972</v>
      </c>
    </row>
    <row r="29" spans="1:9" x14ac:dyDescent="0.35">
      <c r="A29">
        <v>27</v>
      </c>
      <c r="B29">
        <v>28</v>
      </c>
      <c r="C29" t="s">
        <v>162</v>
      </c>
      <c r="D29" t="s">
        <v>163</v>
      </c>
      <c r="E29" t="s">
        <v>15</v>
      </c>
      <c r="F29" t="s">
        <v>38</v>
      </c>
      <c r="G29">
        <v>225000</v>
      </c>
      <c r="H29">
        <v>44391</v>
      </c>
      <c r="I29">
        <v>40972</v>
      </c>
    </row>
    <row r="30" spans="1:9" x14ac:dyDescent="0.35">
      <c r="A30">
        <v>27</v>
      </c>
      <c r="B30">
        <v>28</v>
      </c>
      <c r="C30" t="s">
        <v>162</v>
      </c>
      <c r="D30" t="s">
        <v>163</v>
      </c>
      <c r="E30" t="s">
        <v>164</v>
      </c>
      <c r="F30" t="s">
        <v>38</v>
      </c>
      <c r="G30">
        <v>225000</v>
      </c>
      <c r="H30">
        <v>44391</v>
      </c>
      <c r="I30">
        <v>40972</v>
      </c>
    </row>
    <row r="31" spans="1:9" x14ac:dyDescent="0.35">
      <c r="A31">
        <v>28</v>
      </c>
      <c r="B31">
        <v>29</v>
      </c>
      <c r="C31" t="s">
        <v>165</v>
      </c>
      <c r="D31" t="s">
        <v>166</v>
      </c>
      <c r="E31" t="s">
        <v>25</v>
      </c>
      <c r="F31" t="s">
        <v>39</v>
      </c>
      <c r="G31">
        <v>235000</v>
      </c>
      <c r="H31">
        <v>44391</v>
      </c>
      <c r="I31">
        <v>40972</v>
      </c>
    </row>
    <row r="32" spans="1:9" x14ac:dyDescent="0.35">
      <c r="A32">
        <v>29</v>
      </c>
      <c r="B32">
        <v>30</v>
      </c>
      <c r="C32" t="s">
        <v>167</v>
      </c>
      <c r="D32" t="s">
        <v>40</v>
      </c>
      <c r="E32" t="s">
        <v>25</v>
      </c>
      <c r="F32" t="s">
        <v>21</v>
      </c>
      <c r="G32">
        <v>245000</v>
      </c>
      <c r="H32">
        <v>44391</v>
      </c>
      <c r="I32">
        <v>40972</v>
      </c>
    </row>
    <row r="33" spans="1:9" x14ac:dyDescent="0.35">
      <c r="A33">
        <v>30</v>
      </c>
      <c r="B33">
        <v>31</v>
      </c>
      <c r="C33" t="s">
        <v>168</v>
      </c>
      <c r="D33" t="s">
        <v>169</v>
      </c>
      <c r="E33" t="s">
        <v>25</v>
      </c>
      <c r="F33" t="s">
        <v>41</v>
      </c>
      <c r="G33">
        <v>255000</v>
      </c>
      <c r="H33">
        <v>44391</v>
      </c>
      <c r="I33">
        <v>40972</v>
      </c>
    </row>
    <row r="34" spans="1:9" x14ac:dyDescent="0.35">
      <c r="A34">
        <v>31</v>
      </c>
      <c r="B34">
        <v>32</v>
      </c>
      <c r="C34" t="s">
        <v>170</v>
      </c>
      <c r="D34" t="s">
        <v>171</v>
      </c>
      <c r="E34" t="s">
        <v>15</v>
      </c>
      <c r="F34" t="s">
        <v>42</v>
      </c>
      <c r="G34">
        <v>265000</v>
      </c>
      <c r="H34">
        <v>44391</v>
      </c>
      <c r="I34">
        <v>40972</v>
      </c>
    </row>
    <row r="35" spans="1:9" x14ac:dyDescent="0.35">
      <c r="A35">
        <v>32</v>
      </c>
      <c r="B35">
        <v>33</v>
      </c>
      <c r="C35" t="s">
        <v>172</v>
      </c>
      <c r="D35" t="s">
        <v>43</v>
      </c>
      <c r="E35" t="s">
        <v>15</v>
      </c>
      <c r="F35" t="s">
        <v>21</v>
      </c>
      <c r="G35">
        <v>275000</v>
      </c>
      <c r="H35">
        <v>44391</v>
      </c>
      <c r="I35">
        <v>40972</v>
      </c>
    </row>
    <row r="36" spans="1:9" x14ac:dyDescent="0.35">
      <c r="A36">
        <v>33</v>
      </c>
      <c r="B36">
        <v>34</v>
      </c>
      <c r="C36" t="s">
        <v>173</v>
      </c>
      <c r="D36" t="s">
        <v>174</v>
      </c>
      <c r="E36" t="s">
        <v>25</v>
      </c>
      <c r="F36" t="s">
        <v>44</v>
      </c>
      <c r="G36">
        <v>285000</v>
      </c>
      <c r="H36">
        <v>44391</v>
      </c>
      <c r="I36">
        <v>40972</v>
      </c>
    </row>
    <row r="37" spans="1:9" x14ac:dyDescent="0.35">
      <c r="A37">
        <v>34</v>
      </c>
      <c r="B37">
        <v>35</v>
      </c>
      <c r="C37" t="s">
        <v>175</v>
      </c>
      <c r="D37" t="s">
        <v>176</v>
      </c>
      <c r="E37" t="s">
        <v>15</v>
      </c>
      <c r="F37" t="s">
        <v>45</v>
      </c>
      <c r="G37">
        <v>295000</v>
      </c>
      <c r="H37">
        <v>44391</v>
      </c>
      <c r="I37">
        <v>40972</v>
      </c>
    </row>
    <row r="38" spans="1:9" x14ac:dyDescent="0.35">
      <c r="A38">
        <v>35</v>
      </c>
      <c r="B38">
        <v>36</v>
      </c>
      <c r="C38" t="s">
        <v>177</v>
      </c>
      <c r="D38" t="s">
        <v>46</v>
      </c>
      <c r="E38" t="s">
        <v>15</v>
      </c>
      <c r="F38" t="s">
        <v>21</v>
      </c>
      <c r="G38">
        <v>305000</v>
      </c>
      <c r="H38">
        <v>44391</v>
      </c>
      <c r="I38">
        <v>40972</v>
      </c>
    </row>
    <row r="39" spans="1:9" x14ac:dyDescent="0.35">
      <c r="A39">
        <v>36</v>
      </c>
      <c r="B39">
        <v>37</v>
      </c>
      <c r="C39" t="s">
        <v>178</v>
      </c>
      <c r="D39" t="s">
        <v>179</v>
      </c>
      <c r="E39" t="s">
        <v>25</v>
      </c>
      <c r="F39" t="s">
        <v>47</v>
      </c>
      <c r="G39">
        <v>315000</v>
      </c>
      <c r="H39">
        <v>44391</v>
      </c>
      <c r="I39">
        <v>40972</v>
      </c>
    </row>
    <row r="40" spans="1:9" x14ac:dyDescent="0.35">
      <c r="A40">
        <v>37</v>
      </c>
      <c r="B40">
        <v>38</v>
      </c>
      <c r="C40" t="s">
        <v>180</v>
      </c>
      <c r="D40" t="s">
        <v>48</v>
      </c>
      <c r="E40" t="s">
        <v>25</v>
      </c>
      <c r="F40" t="s">
        <v>21</v>
      </c>
      <c r="G40">
        <v>325000</v>
      </c>
      <c r="H40">
        <v>44391</v>
      </c>
      <c r="I40">
        <v>40972</v>
      </c>
    </row>
    <row r="41" spans="1:9" x14ac:dyDescent="0.35">
      <c r="A41">
        <v>38</v>
      </c>
      <c r="B41">
        <v>39</v>
      </c>
      <c r="C41" t="s">
        <v>181</v>
      </c>
      <c r="D41" t="s">
        <v>182</v>
      </c>
      <c r="E41" t="s">
        <v>15</v>
      </c>
      <c r="F41" t="s">
        <v>49</v>
      </c>
      <c r="G41">
        <v>335000</v>
      </c>
      <c r="H41">
        <v>44391</v>
      </c>
      <c r="I41">
        <v>40972</v>
      </c>
    </row>
    <row r="42" spans="1:9" x14ac:dyDescent="0.35">
      <c r="A42">
        <v>39</v>
      </c>
      <c r="B42">
        <v>40</v>
      </c>
      <c r="C42" t="s">
        <v>183</v>
      </c>
      <c r="D42" t="s">
        <v>184</v>
      </c>
      <c r="E42" t="s">
        <v>25</v>
      </c>
      <c r="F42" t="s">
        <v>50</v>
      </c>
      <c r="G42">
        <v>345000</v>
      </c>
      <c r="H42">
        <v>44391</v>
      </c>
      <c r="I42">
        <v>40972</v>
      </c>
    </row>
    <row r="43" spans="1:9" x14ac:dyDescent="0.35">
      <c r="A43">
        <v>40</v>
      </c>
      <c r="B43">
        <v>41</v>
      </c>
      <c r="C43" t="s">
        <v>185</v>
      </c>
      <c r="D43" t="s">
        <v>51</v>
      </c>
      <c r="E43" t="s">
        <v>25</v>
      </c>
      <c r="F43" t="s">
        <v>52</v>
      </c>
      <c r="G43">
        <v>355000</v>
      </c>
      <c r="H43">
        <v>44391</v>
      </c>
      <c r="I43">
        <v>40972</v>
      </c>
    </row>
    <row r="44" spans="1:9" x14ac:dyDescent="0.35">
      <c r="A44">
        <v>41</v>
      </c>
      <c r="B44">
        <v>42</v>
      </c>
      <c r="C44" t="s">
        <v>186</v>
      </c>
      <c r="D44" t="s">
        <v>187</v>
      </c>
      <c r="E44" t="s">
        <v>15</v>
      </c>
      <c r="F44" t="s">
        <v>53</v>
      </c>
      <c r="G44">
        <v>365000</v>
      </c>
      <c r="H44">
        <v>44391</v>
      </c>
      <c r="I44">
        <v>40972</v>
      </c>
    </row>
    <row r="45" spans="1:9" x14ac:dyDescent="0.35">
      <c r="A45">
        <v>42</v>
      </c>
      <c r="B45">
        <v>43</v>
      </c>
      <c r="C45" t="s">
        <v>188</v>
      </c>
      <c r="D45" t="s">
        <v>189</v>
      </c>
      <c r="E45" t="s">
        <v>25</v>
      </c>
      <c r="F45" t="s">
        <v>54</v>
      </c>
      <c r="G45">
        <v>375000</v>
      </c>
      <c r="H45">
        <v>44391</v>
      </c>
      <c r="I45">
        <v>40972</v>
      </c>
    </row>
    <row r="46" spans="1:9" x14ac:dyDescent="0.35">
      <c r="A46">
        <v>43</v>
      </c>
      <c r="B46">
        <v>44</v>
      </c>
      <c r="C46" t="s">
        <v>190</v>
      </c>
      <c r="D46" t="s">
        <v>191</v>
      </c>
      <c r="E46" t="s">
        <v>15</v>
      </c>
      <c r="F46" t="s">
        <v>55</v>
      </c>
      <c r="G46">
        <v>395000</v>
      </c>
      <c r="H46">
        <v>44391</v>
      </c>
      <c r="I46">
        <v>43862</v>
      </c>
    </row>
    <row r="47" spans="1:9" x14ac:dyDescent="0.35">
      <c r="A47">
        <v>43</v>
      </c>
      <c r="B47">
        <v>44</v>
      </c>
      <c r="C47" t="s">
        <v>190</v>
      </c>
      <c r="D47" t="s">
        <v>191</v>
      </c>
      <c r="E47" t="s">
        <v>15</v>
      </c>
      <c r="F47" t="s">
        <v>55</v>
      </c>
      <c r="G47">
        <v>395000</v>
      </c>
      <c r="H47">
        <v>44391</v>
      </c>
      <c r="I47">
        <v>43862</v>
      </c>
    </row>
    <row r="48" spans="1:9" x14ac:dyDescent="0.35">
      <c r="A48">
        <v>44</v>
      </c>
      <c r="B48">
        <v>45</v>
      </c>
      <c r="C48" t="s">
        <v>192</v>
      </c>
      <c r="D48" t="s">
        <v>193</v>
      </c>
      <c r="E48" t="s">
        <v>56</v>
      </c>
      <c r="F48" t="s">
        <v>57</v>
      </c>
      <c r="G48">
        <v>405000</v>
      </c>
      <c r="H48">
        <v>44391</v>
      </c>
      <c r="I48">
        <v>43862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94CBA-4180-4F3B-8AF4-6C1E060AA40F}">
  <dimension ref="A1:H48"/>
  <sheetViews>
    <sheetView topLeftCell="A22" workbookViewId="0">
      <selection activeCell="F1" sqref="F1"/>
    </sheetView>
  </sheetViews>
  <sheetFormatPr defaultRowHeight="14.5" x14ac:dyDescent="0.35"/>
  <cols>
    <col min="1" max="1" width="7.453125" bestFit="1" customWidth="1"/>
    <col min="2" max="2" width="20.36328125" bestFit="1" customWidth="1"/>
    <col min="3" max="3" width="57" bestFit="1" customWidth="1"/>
    <col min="4" max="4" width="11.08984375" bestFit="1" customWidth="1"/>
    <col min="5" max="5" width="21.453125" style="2" bestFit="1" customWidth="1"/>
    <col min="6" max="6" width="8.26953125" style="1" bestFit="1" customWidth="1"/>
    <col min="7" max="7" width="14.81640625" style="1" bestFit="1" customWidth="1"/>
    <col min="8" max="8" width="14.1796875" bestFit="1" customWidth="1"/>
  </cols>
  <sheetData>
    <row r="1" spans="1:8" x14ac:dyDescent="0.35">
      <c r="A1" s="13" t="s">
        <v>0</v>
      </c>
      <c r="B1" s="13" t="s">
        <v>201</v>
      </c>
      <c r="C1" s="13" t="s">
        <v>200</v>
      </c>
      <c r="D1" s="13" t="s">
        <v>202</v>
      </c>
      <c r="E1" s="13" t="s">
        <v>100</v>
      </c>
      <c r="F1" s="14" t="s">
        <v>203</v>
      </c>
      <c r="G1" s="15" t="s">
        <v>198</v>
      </c>
      <c r="H1" s="15" t="s">
        <v>199</v>
      </c>
    </row>
    <row r="2" spans="1:8" x14ac:dyDescent="0.35">
      <c r="A2" s="9">
        <v>1</v>
      </c>
      <c r="B2" s="9" t="str">
        <f ca="1">PROPER('Data Cleaning'!$B2)</f>
        <v>John Adams</v>
      </c>
      <c r="C2" s="9" t="s">
        <v>9</v>
      </c>
      <c r="D2" s="9" t="s">
        <v>10</v>
      </c>
      <c r="E2" s="9" t="s">
        <v>11</v>
      </c>
      <c r="F2" s="3">
        <v>10000</v>
      </c>
      <c r="G2" s="10">
        <v>44391</v>
      </c>
      <c r="H2" s="10">
        <v>40972</v>
      </c>
    </row>
    <row r="3" spans="1:8" x14ac:dyDescent="0.35">
      <c r="A3" s="11">
        <f>A2+1</f>
        <v>2</v>
      </c>
      <c r="B3" s="11" t="str">
        <f ca="1">PROPER('Data Cleaning'!$B3)</f>
        <v>James Madison</v>
      </c>
      <c r="C3" s="11" t="s">
        <v>64</v>
      </c>
      <c r="D3" s="11" t="s">
        <v>15</v>
      </c>
      <c r="E3" s="11" t="s">
        <v>60</v>
      </c>
      <c r="F3" s="4">
        <v>20000</v>
      </c>
      <c r="G3" s="12">
        <v>44391</v>
      </c>
      <c r="H3" s="12">
        <v>40972</v>
      </c>
    </row>
    <row r="4" spans="1:8" x14ac:dyDescent="0.35">
      <c r="A4" s="9">
        <f t="shared" ref="A4:A47" si="0">A3+1</f>
        <v>3</v>
      </c>
      <c r="B4" s="9" t="str">
        <f ca="1">PROPER('Data Cleaning'!$B4)</f>
        <v>John Quincy Adams</v>
      </c>
      <c r="C4" s="9" t="s">
        <v>66</v>
      </c>
      <c r="D4" s="9" t="s">
        <v>15</v>
      </c>
      <c r="E4" s="9" t="s">
        <v>14</v>
      </c>
      <c r="F4" s="3">
        <v>30000</v>
      </c>
      <c r="G4" s="10">
        <v>44391</v>
      </c>
      <c r="H4" s="10">
        <v>40972</v>
      </c>
    </row>
    <row r="5" spans="1:8" x14ac:dyDescent="0.35">
      <c r="A5" s="11">
        <f t="shared" si="0"/>
        <v>4</v>
      </c>
      <c r="B5" s="11" t="str">
        <f ca="1">PROPER('Data Cleaning'!$B5)</f>
        <v>Martin Van Buren</v>
      </c>
      <c r="C5" s="11" t="s">
        <v>16</v>
      </c>
      <c r="D5" s="11" t="s">
        <v>15</v>
      </c>
      <c r="E5" s="11" t="s">
        <v>17</v>
      </c>
      <c r="F5" s="4">
        <v>40000</v>
      </c>
      <c r="G5" s="12">
        <v>44391</v>
      </c>
      <c r="H5" s="12">
        <v>40972</v>
      </c>
    </row>
    <row r="6" spans="1:8" x14ac:dyDescent="0.35">
      <c r="A6" s="9">
        <f t="shared" si="0"/>
        <v>5</v>
      </c>
      <c r="B6" s="9" t="str">
        <f ca="1">PROPER('Data Cleaning'!$B6)</f>
        <v>John Tyler</v>
      </c>
      <c r="C6" s="9" t="s">
        <v>20</v>
      </c>
      <c r="D6" s="9" t="s">
        <v>58</v>
      </c>
      <c r="E6" s="9" t="s">
        <v>21</v>
      </c>
      <c r="F6" s="3">
        <v>50000</v>
      </c>
      <c r="G6" s="10">
        <v>44391</v>
      </c>
      <c r="H6" s="10">
        <v>40972</v>
      </c>
    </row>
    <row r="7" spans="1:8" x14ac:dyDescent="0.35">
      <c r="A7" s="11">
        <f t="shared" si="0"/>
        <v>6</v>
      </c>
      <c r="B7" s="11" t="str">
        <f ca="1">PROPER('Data Cleaning'!$B7)</f>
        <v>Zachary Taylor</v>
      </c>
      <c r="C7" s="11" t="s">
        <v>70</v>
      </c>
      <c r="D7" s="11" t="s">
        <v>18</v>
      </c>
      <c r="E7" s="11" t="s">
        <v>62</v>
      </c>
      <c r="F7" s="4">
        <v>60000</v>
      </c>
      <c r="G7" s="12">
        <v>44391</v>
      </c>
      <c r="H7" s="12">
        <v>40972</v>
      </c>
    </row>
    <row r="8" spans="1:8" x14ac:dyDescent="0.35">
      <c r="A8" s="9">
        <f t="shared" si="0"/>
        <v>7</v>
      </c>
      <c r="B8" s="9" t="str">
        <f ca="1">PROPER('Data Cleaning'!$B8)</f>
        <v>Franklin Pierce</v>
      </c>
      <c r="C8" s="9" t="s">
        <v>71</v>
      </c>
      <c r="D8" s="9" t="s">
        <v>15</v>
      </c>
      <c r="E8" s="9" t="s">
        <v>23</v>
      </c>
      <c r="F8" s="3">
        <v>75000</v>
      </c>
      <c r="G8" s="10">
        <v>44391</v>
      </c>
      <c r="H8" s="10">
        <v>40972</v>
      </c>
    </row>
    <row r="9" spans="1:8" x14ac:dyDescent="0.35">
      <c r="A9" s="11">
        <f t="shared" si="0"/>
        <v>8</v>
      </c>
      <c r="B9" s="11" t="str">
        <f ca="1">PROPER('Data Cleaning'!$B9)</f>
        <v>Abraham Lincoln</v>
      </c>
      <c r="C9" s="11" t="s">
        <v>73</v>
      </c>
      <c r="D9" s="11" t="s">
        <v>25</v>
      </c>
      <c r="E9" s="11" t="s">
        <v>26</v>
      </c>
      <c r="F9" s="4">
        <v>95000</v>
      </c>
      <c r="G9" s="12">
        <v>44391</v>
      </c>
      <c r="H9" s="12">
        <v>40972</v>
      </c>
    </row>
    <row r="10" spans="1:8" x14ac:dyDescent="0.35">
      <c r="A10" s="9">
        <f t="shared" si="0"/>
        <v>9</v>
      </c>
      <c r="B10" s="9" t="str">
        <f ca="1">PROPER('Data Cleaning'!$B10)</f>
        <v>Ulysses S. Grant</v>
      </c>
      <c r="C10" s="9" t="s">
        <v>74</v>
      </c>
      <c r="D10" s="9" t="s">
        <v>25</v>
      </c>
      <c r="E10" s="9" t="s">
        <v>28</v>
      </c>
      <c r="F10" s="3">
        <v>115000</v>
      </c>
      <c r="G10" s="10">
        <v>44391</v>
      </c>
      <c r="H10" s="10">
        <v>40972</v>
      </c>
    </row>
    <row r="11" spans="1:8" x14ac:dyDescent="0.35">
      <c r="A11" s="11">
        <f t="shared" si="0"/>
        <v>10</v>
      </c>
      <c r="B11" s="11" t="str">
        <f ca="1">PROPER('Data Cleaning'!$B11)</f>
        <v>James A. Garfield</v>
      </c>
      <c r="C11" s="11" t="s">
        <v>76</v>
      </c>
      <c r="D11" s="11" t="s">
        <v>25</v>
      </c>
      <c r="E11" s="11" t="s">
        <v>30</v>
      </c>
      <c r="F11" s="4">
        <v>135000</v>
      </c>
      <c r="G11" s="12">
        <v>44391</v>
      </c>
      <c r="H11" s="12">
        <v>40972</v>
      </c>
    </row>
    <row r="12" spans="1:8" x14ac:dyDescent="0.35">
      <c r="A12" s="9">
        <f t="shared" si="0"/>
        <v>11</v>
      </c>
      <c r="B12" s="9" t="str">
        <f ca="1">PROPER('Data Cleaning'!$B12)</f>
        <v>Grover Cleveland</v>
      </c>
      <c r="C12" s="9" t="s">
        <v>77</v>
      </c>
      <c r="D12" s="9" t="s">
        <v>15</v>
      </c>
      <c r="E12" s="9" t="s">
        <v>32</v>
      </c>
      <c r="F12" s="3">
        <v>155000</v>
      </c>
      <c r="G12" s="10">
        <v>44391</v>
      </c>
      <c r="H12" s="10">
        <v>40972</v>
      </c>
    </row>
    <row r="13" spans="1:8" x14ac:dyDescent="0.35">
      <c r="A13" s="11">
        <f t="shared" si="0"/>
        <v>12</v>
      </c>
      <c r="B13" s="11" t="str">
        <f ca="1">PROPER('Data Cleaning'!$B13)</f>
        <v>Grover Cleveland</v>
      </c>
      <c r="C13" s="11" t="s">
        <v>78</v>
      </c>
      <c r="D13" s="11" t="s">
        <v>15</v>
      </c>
      <c r="E13" s="11" t="s">
        <v>34</v>
      </c>
      <c r="F13" s="4">
        <v>175000</v>
      </c>
      <c r="G13" s="12">
        <v>44391</v>
      </c>
      <c r="H13" s="12">
        <v>40972</v>
      </c>
    </row>
    <row r="14" spans="1:8" x14ac:dyDescent="0.35">
      <c r="A14" s="9">
        <f t="shared" si="0"/>
        <v>13</v>
      </c>
      <c r="B14" s="9" t="str">
        <f ca="1">PROPER('Data Cleaning'!$B14)</f>
        <v>Theodore Roosevelt</v>
      </c>
      <c r="C14" s="9" t="s">
        <v>36</v>
      </c>
      <c r="D14" s="9" t="s">
        <v>25</v>
      </c>
      <c r="E14" s="9" t="s">
        <v>21</v>
      </c>
      <c r="F14" s="3">
        <v>195000</v>
      </c>
      <c r="G14" s="10">
        <v>44391</v>
      </c>
      <c r="H14" s="10">
        <v>40972</v>
      </c>
    </row>
    <row r="15" spans="1:8" x14ac:dyDescent="0.35">
      <c r="A15" s="11">
        <f t="shared" si="0"/>
        <v>14</v>
      </c>
      <c r="B15" s="11" t="str">
        <f ca="1">PROPER('Data Cleaning'!$B15)</f>
        <v>Woodrow Wilson</v>
      </c>
      <c r="C15" s="11" t="s">
        <v>81</v>
      </c>
      <c r="D15" s="11" t="s">
        <v>15</v>
      </c>
      <c r="E15" s="11" t="s">
        <v>38</v>
      </c>
      <c r="F15" s="4">
        <v>225000</v>
      </c>
      <c r="G15" s="12">
        <v>44391</v>
      </c>
      <c r="H15" s="12">
        <v>40972</v>
      </c>
    </row>
    <row r="16" spans="1:8" x14ac:dyDescent="0.35">
      <c r="A16" s="9">
        <f t="shared" si="0"/>
        <v>15</v>
      </c>
      <c r="B16" s="9" t="str">
        <f ca="1">PROPER('Data Cleaning'!$B16)</f>
        <v>Warren G. Harding</v>
      </c>
      <c r="C16" s="9" t="s">
        <v>67</v>
      </c>
      <c r="D16" s="9" t="s">
        <v>25</v>
      </c>
      <c r="E16" s="9" t="s">
        <v>39</v>
      </c>
      <c r="F16" s="3">
        <v>235000</v>
      </c>
      <c r="G16" s="10">
        <v>44391</v>
      </c>
      <c r="H16" s="10">
        <v>40972</v>
      </c>
    </row>
    <row r="17" spans="1:8" x14ac:dyDescent="0.35">
      <c r="A17" s="11">
        <f t="shared" si="0"/>
        <v>16</v>
      </c>
      <c r="B17" s="11" t="str">
        <f ca="1">PROPER('Data Cleaning'!$B17)</f>
        <v>Herbert Hoover</v>
      </c>
      <c r="C17" s="11" t="s">
        <v>82</v>
      </c>
      <c r="D17" s="11" t="s">
        <v>25</v>
      </c>
      <c r="E17" s="11" t="s">
        <v>41</v>
      </c>
      <c r="F17" s="4">
        <v>255000</v>
      </c>
      <c r="G17" s="12">
        <v>44391</v>
      </c>
      <c r="H17" s="12">
        <v>40972</v>
      </c>
    </row>
    <row r="18" spans="1:8" x14ac:dyDescent="0.35">
      <c r="A18" s="9">
        <f t="shared" si="0"/>
        <v>17</v>
      </c>
      <c r="B18" s="9" t="str">
        <f ca="1">PROPER('Data Cleaning'!$B18)</f>
        <v>Harry S. Truman</v>
      </c>
      <c r="C18" s="9" t="s">
        <v>43</v>
      </c>
      <c r="D18" s="9" t="s">
        <v>15</v>
      </c>
      <c r="E18" s="9" t="s">
        <v>21</v>
      </c>
      <c r="F18" s="3">
        <v>275000</v>
      </c>
      <c r="G18" s="10">
        <v>44391</v>
      </c>
      <c r="H18" s="10">
        <v>40972</v>
      </c>
    </row>
    <row r="19" spans="1:8" x14ac:dyDescent="0.35">
      <c r="A19" s="11">
        <f t="shared" si="0"/>
        <v>18</v>
      </c>
      <c r="B19" s="11" t="str">
        <f ca="1">PROPER('Data Cleaning'!$B19)</f>
        <v>John F. Kennedy</v>
      </c>
      <c r="C19" s="11" t="s">
        <v>67</v>
      </c>
      <c r="D19" s="11" t="s">
        <v>15</v>
      </c>
      <c r="E19" s="11" t="s">
        <v>45</v>
      </c>
      <c r="F19" s="4">
        <v>295000</v>
      </c>
      <c r="G19" s="12">
        <v>44391</v>
      </c>
      <c r="H19" s="12">
        <v>40972</v>
      </c>
    </row>
    <row r="20" spans="1:8" x14ac:dyDescent="0.35">
      <c r="A20" s="9">
        <f t="shared" si="0"/>
        <v>19</v>
      </c>
      <c r="B20" s="9" t="str">
        <f ca="1">PROPER('Data Cleaning'!$B20)</f>
        <v>Richard Nixon</v>
      </c>
      <c r="C20" s="9" t="s">
        <v>85</v>
      </c>
      <c r="D20" s="9" t="s">
        <v>25</v>
      </c>
      <c r="E20" s="9" t="s">
        <v>47</v>
      </c>
      <c r="F20" s="3">
        <v>315000</v>
      </c>
      <c r="G20" s="10">
        <v>44391</v>
      </c>
      <c r="H20" s="10">
        <v>40972</v>
      </c>
    </row>
    <row r="21" spans="1:8" x14ac:dyDescent="0.35">
      <c r="A21" s="11">
        <f t="shared" si="0"/>
        <v>20</v>
      </c>
      <c r="B21" s="11" t="str">
        <f ca="1">PROPER('Data Cleaning'!$B21)</f>
        <v>Jimmy Carter</v>
      </c>
      <c r="C21" s="11" t="s">
        <v>86</v>
      </c>
      <c r="D21" s="11" t="s">
        <v>15</v>
      </c>
      <c r="E21" s="11" t="s">
        <v>49</v>
      </c>
      <c r="F21" s="4">
        <v>335000</v>
      </c>
      <c r="G21" s="12">
        <v>44391</v>
      </c>
      <c r="H21" s="12">
        <v>40972</v>
      </c>
    </row>
    <row r="22" spans="1:8" x14ac:dyDescent="0.35">
      <c r="A22" s="9">
        <f t="shared" si="0"/>
        <v>21</v>
      </c>
      <c r="B22" s="9" t="str">
        <f ca="1">PROPER('Data Cleaning'!$B22)</f>
        <v>George H. W. Bush</v>
      </c>
      <c r="C22" s="9" t="s">
        <v>51</v>
      </c>
      <c r="D22" s="9" t="s">
        <v>25</v>
      </c>
      <c r="E22" s="9" t="s">
        <v>52</v>
      </c>
      <c r="F22" s="3">
        <v>355000</v>
      </c>
      <c r="G22" s="10">
        <v>44391</v>
      </c>
      <c r="H22" s="10">
        <v>40972</v>
      </c>
    </row>
    <row r="23" spans="1:8" x14ac:dyDescent="0.35">
      <c r="A23" s="11">
        <f t="shared" si="0"/>
        <v>22</v>
      </c>
      <c r="B23" s="11" t="str">
        <f ca="1">PROPER('Data Cleaning'!$B23)</f>
        <v>George W. Bush</v>
      </c>
      <c r="C23" s="11" t="s">
        <v>89</v>
      </c>
      <c r="D23" s="11" t="s">
        <v>25</v>
      </c>
      <c r="E23" s="11" t="s">
        <v>54</v>
      </c>
      <c r="F23" s="4">
        <v>375000</v>
      </c>
      <c r="G23" s="12">
        <v>44391</v>
      </c>
      <c r="H23" s="12">
        <v>40972</v>
      </c>
    </row>
    <row r="24" spans="1:8" x14ac:dyDescent="0.35">
      <c r="A24" s="9">
        <f t="shared" si="0"/>
        <v>23</v>
      </c>
      <c r="B24" s="9" t="str">
        <f ca="1">PROPER('Data Cleaning'!$B24)</f>
        <v>Donald Trump</v>
      </c>
      <c r="C24" s="9" t="s">
        <v>90</v>
      </c>
      <c r="D24" s="9" t="s">
        <v>56</v>
      </c>
      <c r="E24" s="9" t="s">
        <v>57</v>
      </c>
      <c r="F24" s="3">
        <v>405000</v>
      </c>
      <c r="G24" s="10">
        <v>44391</v>
      </c>
      <c r="H24" s="10">
        <v>43862</v>
      </c>
    </row>
    <row r="25" spans="1:8" x14ac:dyDescent="0.35">
      <c r="A25" s="11">
        <f t="shared" si="0"/>
        <v>24</v>
      </c>
      <c r="B25" s="9" t="str">
        <f ca="1">PROPER('Data Cleaning'!$B25)</f>
        <v>George Washington</v>
      </c>
      <c r="C25" s="9" t="s">
        <v>63</v>
      </c>
      <c r="D25" s="9" t="s">
        <v>7</v>
      </c>
      <c r="E25" s="9" t="s">
        <v>8</v>
      </c>
      <c r="F25" s="3">
        <v>5000</v>
      </c>
      <c r="G25" s="10">
        <v>44391</v>
      </c>
      <c r="H25" s="10">
        <v>40972</v>
      </c>
    </row>
    <row r="26" spans="1:8" x14ac:dyDescent="0.35">
      <c r="A26" s="9">
        <f t="shared" si="0"/>
        <v>25</v>
      </c>
      <c r="B26" s="9" t="str">
        <f ca="1">PROPER('Data Cleaning'!$B26)</f>
        <v>Thomas Jefferson</v>
      </c>
      <c r="C26" s="9" t="s">
        <v>12</v>
      </c>
      <c r="D26" s="9" t="s">
        <v>15</v>
      </c>
      <c r="E26" s="9" t="s">
        <v>59</v>
      </c>
      <c r="F26" s="3">
        <v>15000</v>
      </c>
      <c r="G26" s="10">
        <v>44391</v>
      </c>
      <c r="H26" s="10">
        <v>40972</v>
      </c>
    </row>
    <row r="27" spans="1:8" x14ac:dyDescent="0.35">
      <c r="A27" s="11">
        <f t="shared" si="0"/>
        <v>26</v>
      </c>
      <c r="B27" s="9" t="str">
        <f ca="1">PROPER('Data Cleaning'!$B27)</f>
        <v>James Monroe</v>
      </c>
      <c r="C27" s="9" t="s">
        <v>65</v>
      </c>
      <c r="D27" s="9" t="s">
        <v>15</v>
      </c>
      <c r="E27" s="9" t="s">
        <v>13</v>
      </c>
      <c r="F27" s="3">
        <v>25000</v>
      </c>
      <c r="G27" s="10">
        <v>44391</v>
      </c>
      <c r="H27" s="10">
        <v>40972</v>
      </c>
    </row>
    <row r="28" spans="1:8" x14ac:dyDescent="0.35">
      <c r="A28" s="9">
        <f t="shared" si="0"/>
        <v>27</v>
      </c>
      <c r="B28" s="9" t="str">
        <f ca="1">PROPER('Data Cleaning'!$B28)</f>
        <v>Andrew Jackson</v>
      </c>
      <c r="C28" s="9" t="s">
        <v>67</v>
      </c>
      <c r="D28" s="9" t="s">
        <v>15</v>
      </c>
      <c r="E28" s="9" t="s">
        <v>14</v>
      </c>
      <c r="F28" s="3">
        <v>35000</v>
      </c>
      <c r="G28" s="10">
        <v>44391</v>
      </c>
      <c r="H28" s="10">
        <v>40972</v>
      </c>
    </row>
    <row r="29" spans="1:8" x14ac:dyDescent="0.35">
      <c r="A29" s="11">
        <f t="shared" si="0"/>
        <v>28</v>
      </c>
      <c r="B29" s="9" t="str">
        <f ca="1">PROPER('Data Cleaning'!$B29)</f>
        <v>William Henry Harrison</v>
      </c>
      <c r="C29" s="9" t="s">
        <v>68</v>
      </c>
      <c r="D29" s="9" t="s">
        <v>18</v>
      </c>
      <c r="E29" s="9" t="s">
        <v>19</v>
      </c>
      <c r="F29" s="3">
        <v>45000</v>
      </c>
      <c r="G29" s="10">
        <v>44391</v>
      </c>
      <c r="H29" s="10">
        <v>40972</v>
      </c>
    </row>
    <row r="30" spans="1:8" x14ac:dyDescent="0.35">
      <c r="A30" s="9">
        <f t="shared" si="0"/>
        <v>29</v>
      </c>
      <c r="B30" s="9" t="str">
        <f ca="1">PROPER('Data Cleaning'!$B30)</f>
        <v>James K. Polk</v>
      </c>
      <c r="C30" s="9" t="s">
        <v>69</v>
      </c>
      <c r="D30" s="9" t="s">
        <v>15</v>
      </c>
      <c r="E30" s="9" t="s">
        <v>61</v>
      </c>
      <c r="F30" s="3">
        <v>55000</v>
      </c>
      <c r="G30" s="10">
        <v>44391</v>
      </c>
      <c r="H30" s="10">
        <v>40972</v>
      </c>
    </row>
    <row r="31" spans="1:8" x14ac:dyDescent="0.35">
      <c r="A31" s="11">
        <f t="shared" si="0"/>
        <v>30</v>
      </c>
      <c r="B31" s="9" t="str">
        <f ca="1">PROPER('Data Cleaning'!$B31)</f>
        <v>Millard Fillmore</v>
      </c>
      <c r="C31" s="9" t="s">
        <v>22</v>
      </c>
      <c r="D31" s="9" t="s">
        <v>18</v>
      </c>
      <c r="E31" s="9" t="s">
        <v>21</v>
      </c>
      <c r="F31" s="3">
        <v>65000</v>
      </c>
      <c r="G31" s="10">
        <v>44391</v>
      </c>
      <c r="H31" s="10">
        <v>40972</v>
      </c>
    </row>
    <row r="32" spans="1:8" x14ac:dyDescent="0.35">
      <c r="A32" s="9">
        <f t="shared" si="0"/>
        <v>31</v>
      </c>
      <c r="B32" s="9" t="str">
        <f ca="1">PROPER('Data Cleaning'!$B32)</f>
        <v>James Buchanan</v>
      </c>
      <c r="C32" s="9" t="s">
        <v>72</v>
      </c>
      <c r="D32" s="9" t="s">
        <v>15</v>
      </c>
      <c r="E32" s="9" t="s">
        <v>24</v>
      </c>
      <c r="F32" s="3">
        <v>85000</v>
      </c>
      <c r="G32" s="10">
        <v>44391</v>
      </c>
      <c r="H32" s="10">
        <v>40972</v>
      </c>
    </row>
    <row r="33" spans="1:8" x14ac:dyDescent="0.35">
      <c r="A33" s="11">
        <f t="shared" si="0"/>
        <v>32</v>
      </c>
      <c r="B33" s="9" t="str">
        <f ca="1">PROPER('Data Cleaning'!$B33)</f>
        <v>Andrew Johnson</v>
      </c>
      <c r="C33" s="9" t="s">
        <v>27</v>
      </c>
      <c r="D33" s="9" t="s">
        <v>15</v>
      </c>
      <c r="E33" s="9" t="s">
        <v>21</v>
      </c>
      <c r="F33" s="3">
        <v>105000</v>
      </c>
      <c r="G33" s="10">
        <v>44391</v>
      </c>
      <c r="H33" s="10">
        <v>40972</v>
      </c>
    </row>
    <row r="34" spans="1:8" x14ac:dyDescent="0.35">
      <c r="A34" s="9">
        <f t="shared" si="0"/>
        <v>33</v>
      </c>
      <c r="B34" s="9" t="str">
        <f ca="1">PROPER('Data Cleaning'!$B34)</f>
        <v>Rutherford B. Hayes</v>
      </c>
      <c r="C34" s="9" t="s">
        <v>75</v>
      </c>
      <c r="D34" s="9" t="s">
        <v>25</v>
      </c>
      <c r="E34" s="9" t="s">
        <v>29</v>
      </c>
      <c r="F34" s="3">
        <v>125000</v>
      </c>
      <c r="G34" s="10">
        <v>44391</v>
      </c>
      <c r="H34" s="10">
        <v>40972</v>
      </c>
    </row>
    <row r="35" spans="1:8" x14ac:dyDescent="0.35">
      <c r="A35" s="11">
        <f t="shared" si="0"/>
        <v>34</v>
      </c>
      <c r="B35" s="9" t="str">
        <f ca="1">PROPER('Data Cleaning'!$B35)</f>
        <v>Chester A. Arthur</v>
      </c>
      <c r="C35" s="9" t="s">
        <v>31</v>
      </c>
      <c r="D35" s="9" t="s">
        <v>25</v>
      </c>
      <c r="E35" s="9" t="s">
        <v>21</v>
      </c>
      <c r="F35" s="3">
        <v>145000</v>
      </c>
      <c r="G35" s="10">
        <v>44391</v>
      </c>
      <c r="H35" s="10">
        <v>40972</v>
      </c>
    </row>
    <row r="36" spans="1:8" x14ac:dyDescent="0.35">
      <c r="A36" s="9">
        <f t="shared" si="0"/>
        <v>35</v>
      </c>
      <c r="B36" s="9" t="str">
        <f ca="1">PROPER('Data Cleaning'!$B36)</f>
        <v>Benjamin Harrison</v>
      </c>
      <c r="C36" s="9" t="s">
        <v>67</v>
      </c>
      <c r="D36" s="9" t="s">
        <v>25</v>
      </c>
      <c r="E36" s="9" t="s">
        <v>33</v>
      </c>
      <c r="F36" s="3">
        <v>165000</v>
      </c>
      <c r="G36" s="10">
        <v>44391</v>
      </c>
      <c r="H36" s="10">
        <v>40972</v>
      </c>
    </row>
    <row r="37" spans="1:8" x14ac:dyDescent="0.35">
      <c r="A37" s="11">
        <f t="shared" si="0"/>
        <v>36</v>
      </c>
      <c r="B37" s="9" t="str">
        <f ca="1">PROPER('Data Cleaning'!$B37)</f>
        <v>William Mckinley</v>
      </c>
      <c r="C37" s="9" t="s">
        <v>79</v>
      </c>
      <c r="D37" s="9" t="s">
        <v>25</v>
      </c>
      <c r="E37" s="9" t="s">
        <v>35</v>
      </c>
      <c r="F37" s="3">
        <v>185000</v>
      </c>
      <c r="G37" s="10">
        <v>44391</v>
      </c>
      <c r="H37" s="10">
        <v>40972</v>
      </c>
    </row>
    <row r="38" spans="1:8" x14ac:dyDescent="0.35">
      <c r="A38" s="9">
        <f t="shared" si="0"/>
        <v>37</v>
      </c>
      <c r="B38" s="9" t="str">
        <f ca="1">PROPER('Data Cleaning'!$B38)</f>
        <v>William Howard Taft</v>
      </c>
      <c r="C38" s="9" t="s">
        <v>80</v>
      </c>
      <c r="D38" s="9" t="s">
        <v>25</v>
      </c>
      <c r="E38" s="9" t="s">
        <v>37</v>
      </c>
      <c r="F38" s="3">
        <v>205000</v>
      </c>
      <c r="G38" s="10">
        <v>44391</v>
      </c>
      <c r="H38" s="10">
        <v>40972</v>
      </c>
    </row>
    <row r="39" spans="1:8" x14ac:dyDescent="0.35">
      <c r="A39" s="11">
        <f t="shared" si="0"/>
        <v>38</v>
      </c>
      <c r="B39" s="9" t="str">
        <f ca="1">PROPER('Data Cleaning'!$B39)</f>
        <v>Woodrow Wilson</v>
      </c>
      <c r="C39" s="9" t="s">
        <v>81</v>
      </c>
      <c r="D39" s="9" t="s">
        <v>15</v>
      </c>
      <c r="E39" s="9" t="s">
        <v>38</v>
      </c>
      <c r="F39" s="3">
        <v>225000</v>
      </c>
      <c r="G39" s="10">
        <v>44391</v>
      </c>
      <c r="H39" s="10">
        <v>40972</v>
      </c>
    </row>
    <row r="40" spans="1:8" x14ac:dyDescent="0.35">
      <c r="A40" s="9">
        <f t="shared" si="0"/>
        <v>39</v>
      </c>
      <c r="B40" s="9" t="str">
        <f ca="1">PROPER('Data Cleaning'!$B40)</f>
        <v>Calvin Coolidge</v>
      </c>
      <c r="C40" s="9" t="s">
        <v>40</v>
      </c>
      <c r="D40" s="9" t="s">
        <v>25</v>
      </c>
      <c r="E40" s="9" t="s">
        <v>21</v>
      </c>
      <c r="F40" s="3">
        <v>245000</v>
      </c>
      <c r="G40" s="10">
        <v>44391</v>
      </c>
      <c r="H40" s="10">
        <v>40972</v>
      </c>
    </row>
    <row r="41" spans="1:8" x14ac:dyDescent="0.35">
      <c r="A41" s="11">
        <f t="shared" si="0"/>
        <v>40</v>
      </c>
      <c r="B41" s="9" t="str">
        <f ca="1">PROPER('Data Cleaning'!$B41)</f>
        <v>Franklin D. Roosevelt</v>
      </c>
      <c r="C41" s="9" t="s">
        <v>83</v>
      </c>
      <c r="D41" s="9" t="s">
        <v>15</v>
      </c>
      <c r="E41" s="9" t="s">
        <v>42</v>
      </c>
      <c r="F41" s="3">
        <v>265000</v>
      </c>
      <c r="G41" s="10">
        <v>44391</v>
      </c>
      <c r="H41" s="10">
        <v>40972</v>
      </c>
    </row>
    <row r="42" spans="1:8" x14ac:dyDescent="0.35">
      <c r="A42" s="9">
        <f t="shared" si="0"/>
        <v>41</v>
      </c>
      <c r="B42" s="9" t="str">
        <f ca="1">PROPER('Data Cleaning'!$B42)</f>
        <v>Dwight D. Eisenhower</v>
      </c>
      <c r="C42" s="9" t="s">
        <v>84</v>
      </c>
      <c r="D42" s="9" t="s">
        <v>25</v>
      </c>
      <c r="E42" s="9" t="s">
        <v>44</v>
      </c>
      <c r="F42" s="3">
        <v>285000</v>
      </c>
      <c r="G42" s="10">
        <v>44391</v>
      </c>
      <c r="H42" s="10">
        <v>40972</v>
      </c>
    </row>
    <row r="43" spans="1:8" x14ac:dyDescent="0.35">
      <c r="A43" s="11">
        <f t="shared" si="0"/>
        <v>42</v>
      </c>
      <c r="B43" s="9" t="str">
        <f ca="1">PROPER('Data Cleaning'!$B43)</f>
        <v>Lyndon B. Johnson</v>
      </c>
      <c r="C43" s="9" t="s">
        <v>46</v>
      </c>
      <c r="D43" s="9" t="s">
        <v>15</v>
      </c>
      <c r="E43" s="9" t="s">
        <v>21</v>
      </c>
      <c r="F43" s="3">
        <v>305000</v>
      </c>
      <c r="G43" s="10">
        <v>44391</v>
      </c>
      <c r="H43" s="10">
        <v>40972</v>
      </c>
    </row>
    <row r="44" spans="1:8" x14ac:dyDescent="0.35">
      <c r="A44" s="9">
        <f t="shared" si="0"/>
        <v>43</v>
      </c>
      <c r="B44" s="9" t="str">
        <f ca="1">PROPER('Data Cleaning'!$B44)</f>
        <v>Gerald Ford</v>
      </c>
      <c r="C44" s="9" t="s">
        <v>48</v>
      </c>
      <c r="D44" s="9" t="s">
        <v>25</v>
      </c>
      <c r="E44" s="9" t="s">
        <v>21</v>
      </c>
      <c r="F44" s="3">
        <v>325000</v>
      </c>
      <c r="G44" s="10">
        <v>44391</v>
      </c>
      <c r="H44" s="10">
        <v>40972</v>
      </c>
    </row>
    <row r="45" spans="1:8" x14ac:dyDescent="0.35">
      <c r="A45" s="11">
        <f t="shared" si="0"/>
        <v>44</v>
      </c>
      <c r="B45" s="9" t="str">
        <f ca="1">PROPER('Data Cleaning'!$B45)</f>
        <v>Ronald Reagan</v>
      </c>
      <c r="C45" s="9" t="s">
        <v>87</v>
      </c>
      <c r="D45" s="9" t="s">
        <v>25</v>
      </c>
      <c r="E45" s="9" t="s">
        <v>50</v>
      </c>
      <c r="F45" s="3">
        <v>345000</v>
      </c>
      <c r="G45" s="10">
        <v>44391</v>
      </c>
      <c r="H45" s="10">
        <v>40972</v>
      </c>
    </row>
    <row r="46" spans="1:8" x14ac:dyDescent="0.35">
      <c r="A46" s="9">
        <f t="shared" si="0"/>
        <v>45</v>
      </c>
      <c r="B46" s="9" t="str">
        <f ca="1">PROPER('Data Cleaning'!$B46)</f>
        <v>Bill Clinton</v>
      </c>
      <c r="C46" s="9" t="s">
        <v>88</v>
      </c>
      <c r="D46" s="9" t="s">
        <v>15</v>
      </c>
      <c r="E46" s="9" t="s">
        <v>53</v>
      </c>
      <c r="F46" s="3">
        <v>365000</v>
      </c>
      <c r="G46" s="10">
        <v>44391</v>
      </c>
      <c r="H46" s="10">
        <v>40972</v>
      </c>
    </row>
    <row r="47" spans="1:8" x14ac:dyDescent="0.35">
      <c r="A47" s="11">
        <f t="shared" si="0"/>
        <v>46</v>
      </c>
      <c r="B47" s="9" t="str">
        <f ca="1">PROPER('Data Cleaning'!$B47)</f>
        <v>Barack Obama</v>
      </c>
      <c r="C47" s="9" t="s">
        <v>67</v>
      </c>
      <c r="D47" s="9" t="s">
        <v>15</v>
      </c>
      <c r="E47" s="9" t="s">
        <v>55</v>
      </c>
      <c r="F47" s="3">
        <v>395000</v>
      </c>
      <c r="G47" s="10">
        <v>44391</v>
      </c>
      <c r="H47" s="10">
        <v>43862</v>
      </c>
    </row>
    <row r="48" spans="1:8" hidden="1" x14ac:dyDescent="0.35">
      <c r="A48" s="9"/>
      <c r="B48" s="9" t="str">
        <f ca="1">PROPER('Data Cleaning'!$B48)</f>
        <v/>
      </c>
      <c r="C48" s="9"/>
      <c r="D48" s="9"/>
      <c r="E48" s="9"/>
      <c r="F48" s="9"/>
      <c r="G48" s="9"/>
      <c r="H48" s="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FC220-115D-4448-A4CB-AF72147A7F96}">
  <dimension ref="A1:H29"/>
  <sheetViews>
    <sheetView showGridLines="0" tabSelected="1" topLeftCell="A12" workbookViewId="0">
      <selection activeCell="C12" sqref="C12"/>
    </sheetView>
  </sheetViews>
  <sheetFormatPr defaultRowHeight="14.5" x14ac:dyDescent="0.35"/>
  <sheetData>
    <row r="1" spans="1:8" ht="26" x14ac:dyDescent="0.6">
      <c r="A1" s="5" t="s">
        <v>91</v>
      </c>
    </row>
    <row r="3" spans="1:8" ht="18.5" x14ac:dyDescent="0.45">
      <c r="A3" s="6" t="s">
        <v>92</v>
      </c>
    </row>
    <row r="4" spans="1:8" x14ac:dyDescent="0.35">
      <c r="A4" t="s">
        <v>93</v>
      </c>
      <c r="H4" t="s">
        <v>94</v>
      </c>
    </row>
    <row r="6" spans="1:8" x14ac:dyDescent="0.35">
      <c r="A6" s="7" t="s">
        <v>95</v>
      </c>
    </row>
    <row r="7" spans="1:8" x14ac:dyDescent="0.35">
      <c r="A7" t="s">
        <v>194</v>
      </c>
    </row>
    <row r="9" spans="1:8" ht="15.5" x14ac:dyDescent="0.35">
      <c r="A9" s="8" t="s">
        <v>196</v>
      </c>
    </row>
    <row r="10" spans="1:8" x14ac:dyDescent="0.35">
      <c r="A10" t="s">
        <v>195</v>
      </c>
    </row>
    <row r="12" spans="1:8" ht="15.5" x14ac:dyDescent="0.35">
      <c r="A12" s="8" t="s">
        <v>96</v>
      </c>
    </row>
    <row r="13" spans="1:8" x14ac:dyDescent="0.35">
      <c r="A13" t="s">
        <v>97</v>
      </c>
    </row>
    <row r="14" spans="1:8" x14ac:dyDescent="0.35">
      <c r="A14" t="s">
        <v>197</v>
      </c>
    </row>
    <row r="15" spans="1:8" x14ac:dyDescent="0.35">
      <c r="A15" t="s">
        <v>98</v>
      </c>
    </row>
    <row r="16" spans="1:8" x14ac:dyDescent="0.35">
      <c r="A16" t="s">
        <v>99</v>
      </c>
    </row>
    <row r="17" spans="1:1" x14ac:dyDescent="0.35">
      <c r="A17" t="s">
        <v>204</v>
      </c>
    </row>
    <row r="18" spans="1:1" x14ac:dyDescent="0.35">
      <c r="A18" t="s">
        <v>101</v>
      </c>
    </row>
    <row r="19" spans="1:1" x14ac:dyDescent="0.35">
      <c r="A19" t="s">
        <v>205</v>
      </c>
    </row>
    <row r="20" spans="1:1" x14ac:dyDescent="0.35">
      <c r="A20" t="s">
        <v>108</v>
      </c>
    </row>
    <row r="21" spans="1:1" x14ac:dyDescent="0.35">
      <c r="A21" t="s">
        <v>207</v>
      </c>
    </row>
    <row r="22" spans="1:1" ht="18.5" x14ac:dyDescent="0.45">
      <c r="A22" s="6" t="s">
        <v>102</v>
      </c>
    </row>
    <row r="23" spans="1:1" x14ac:dyDescent="0.35">
      <c r="A23" t="s">
        <v>103</v>
      </c>
    </row>
    <row r="25" spans="1:1" x14ac:dyDescent="0.35">
      <c r="A25" t="s">
        <v>104</v>
      </c>
    </row>
    <row r="26" spans="1:1" x14ac:dyDescent="0.35">
      <c r="A26" t="s">
        <v>105</v>
      </c>
    </row>
    <row r="27" spans="1:1" x14ac:dyDescent="0.35">
      <c r="A27" t="s">
        <v>106</v>
      </c>
    </row>
    <row r="28" spans="1:1" x14ac:dyDescent="0.35">
      <c r="A28" t="s">
        <v>107</v>
      </c>
    </row>
    <row r="29" spans="1:1" x14ac:dyDescent="0.35">
      <c r="A29" t="s">
        <v>206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Data Cleaning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Olabamiji Ayanfe</dc:creator>
  <cp:lastModifiedBy>Mr.Top</cp:lastModifiedBy>
  <dcterms:created xsi:type="dcterms:W3CDTF">2025-10-30T08:31:56Z</dcterms:created>
  <dcterms:modified xsi:type="dcterms:W3CDTF">2026-06-06T17:00:34Z</dcterms:modified>
</cp:coreProperties>
</file>